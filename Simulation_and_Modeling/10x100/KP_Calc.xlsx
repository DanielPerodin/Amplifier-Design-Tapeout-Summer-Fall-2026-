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od\SCRO Design\Summer 26\DP_MOSFET_Model\10x100\"/>
    </mc:Choice>
  </mc:AlternateContent>
  <xr:revisionPtr revIDLastSave="0" documentId="13_ncr:1_{38435DAA-76EB-446D-866A-B6CA3B7D13CE}" xr6:coauthVersionLast="47" xr6:coauthVersionMax="47" xr10:uidLastSave="{00000000-0000-0000-0000-000000000000}"/>
  <bookViews>
    <workbookView xWindow="-98" yWindow="-98" windowWidth="21795" windowHeight="13875" xr2:uid="{E0856998-14ED-4E05-B7A2-CDEC8DCDB98F}"/>
  </bookViews>
  <sheets>
    <sheet name="KP_Cal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3" l="1"/>
  <c r="M7" i="3"/>
  <c r="M8" i="3"/>
  <c r="M9" i="3"/>
  <c r="P6" i="3" s="1"/>
  <c r="M10" i="3"/>
  <c r="M11" i="3"/>
  <c r="M12" i="3"/>
  <c r="M13" i="3"/>
  <c r="M14" i="3"/>
  <c r="M15" i="3"/>
  <c r="M6" i="3"/>
  <c r="M5" i="3"/>
  <c r="M4" i="3"/>
  <c r="L7" i="3"/>
  <c r="L8" i="3"/>
  <c r="L9" i="3"/>
  <c r="L10" i="3"/>
  <c r="L11" i="3"/>
  <c r="L12" i="3"/>
  <c r="L13" i="3"/>
  <c r="L14" i="3"/>
  <c r="L15" i="3"/>
  <c r="L6" i="3"/>
  <c r="L5" i="3"/>
  <c r="L4" i="3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</calcChain>
</file>

<file path=xl/sharedStrings.xml><?xml version="1.0" encoding="utf-8"?>
<sst xmlns="http://schemas.openxmlformats.org/spreadsheetml/2006/main" count="10" uniqueCount="9">
  <si>
    <t>VG</t>
  </si>
  <si>
    <t>VD</t>
  </si>
  <si>
    <t>ID (mA)</t>
  </si>
  <si>
    <t>VG-VT</t>
  </si>
  <si>
    <t>VT</t>
  </si>
  <si>
    <t>KP</t>
  </si>
  <si>
    <t>(VG-VT)^2</t>
  </si>
  <si>
    <t>slope of saturation data</t>
  </si>
  <si>
    <t xml:space="preserve">KP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</si>
</sst>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KP_Calc!$M$3</c:f>
              <c:strCache>
                <c:ptCount val="1"/>
                <c:pt idx="0">
                  <c:v>ID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KP_Calc!$L$4:$L$15</c:f>
              <c:numCache>
                <c:formatCode>General</c:formatCode>
                <c:ptCount val="12"/>
                <c:pt idx="0">
                  <c:v>0.12250000000000003</c:v>
                </c:pt>
                <c:pt idx="1">
                  <c:v>0.5625</c:v>
                </c:pt>
                <c:pt idx="2">
                  <c:v>1.3225000000000002</c:v>
                </c:pt>
                <c:pt idx="3">
                  <c:v>2.4025000000000003</c:v>
                </c:pt>
                <c:pt idx="4">
                  <c:v>3.8024999999999998</c:v>
                </c:pt>
                <c:pt idx="5">
                  <c:v>5.5224999999999982</c:v>
                </c:pt>
                <c:pt idx="6">
                  <c:v>7.5625</c:v>
                </c:pt>
                <c:pt idx="7">
                  <c:v>9.9224999999999994</c:v>
                </c:pt>
                <c:pt idx="8">
                  <c:v>12.602499999999999</c:v>
                </c:pt>
                <c:pt idx="9">
                  <c:v>15.602500000000001</c:v>
                </c:pt>
                <c:pt idx="10">
                  <c:v>18.922499999999996</c:v>
                </c:pt>
                <c:pt idx="11">
                  <c:v>22.5625</c:v>
                </c:pt>
              </c:numCache>
            </c:numRef>
          </c:xVal>
          <c:yVal>
            <c:numRef>
              <c:f>KP_Calc!$M$4:$M$15</c:f>
              <c:numCache>
                <c:formatCode>General</c:formatCode>
                <c:ptCount val="12"/>
                <c:pt idx="0">
                  <c:v>1.7529999999999998E-3</c:v>
                </c:pt>
                <c:pt idx="1">
                  <c:v>2.3E-3</c:v>
                </c:pt>
                <c:pt idx="2">
                  <c:v>2.8900000000000002E-3</c:v>
                </c:pt>
                <c:pt idx="3">
                  <c:v>3.5299999999999997E-3</c:v>
                </c:pt>
                <c:pt idx="4">
                  <c:v>4.2000000000000006E-3</c:v>
                </c:pt>
                <c:pt idx="5">
                  <c:v>4.9100000000000003E-3</c:v>
                </c:pt>
                <c:pt idx="6">
                  <c:v>5.64E-3</c:v>
                </c:pt>
                <c:pt idx="7">
                  <c:v>6.3899999999999998E-3</c:v>
                </c:pt>
                <c:pt idx="8">
                  <c:v>7.1700000000000002E-3</c:v>
                </c:pt>
                <c:pt idx="9">
                  <c:v>7.9660000000000009E-3</c:v>
                </c:pt>
                <c:pt idx="10">
                  <c:v>8.7669999999999988E-3</c:v>
                </c:pt>
                <c:pt idx="11">
                  <c:v>9.5770000000000004E-3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C4-4F04-8594-BBC11986E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537536"/>
        <c:axId val="776538976"/>
      </c:scatterChart>
      <c:valAx>
        <c:axId val="7765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38976"/>
        <c:crosses val="autoZero"/>
        <c:crossBetween val="midCat"/>
      </c:valAx>
      <c:valAx>
        <c:axId val="7765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3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297655</xdr:colOff>
      <xdr:row>16</xdr:row>
      <xdr:rowOff>85725</xdr:rowOff>
    </xdr:from>
    <xdr:to>
      <xdr:col>15</xdr:col>
      <xdr:colOff>335755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CB9BA7-A772-0476-7362-699F632D7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D26B-0FF4-4DC0-B3C5-704EAE881333}">
  <dimension ref="A1:P29"/>
  <sheetViews>
    <sheetView tabSelected="1" workbookViewId="0">
      <selection activeCell="P5" sqref="P5"/>
    </sheetView>
  </sheetViews>
  <sheetFormatPr defaultRowHeight="14.25" x14ac:dyDescent="0.45"/>
  <sheetData>
    <row r="1" spans="1:16" x14ac:dyDescent="0.45">
      <c r="A1" s="2" t="s">
        <v>4</v>
      </c>
      <c r="B1" t="s">
        <v>1</v>
      </c>
      <c r="C1" t="s">
        <v>2</v>
      </c>
      <c r="D1" t="s">
        <v>0</v>
      </c>
      <c r="E1" t="s">
        <v>3</v>
      </c>
      <c r="F1" t="s">
        <v>5</v>
      </c>
    </row>
    <row r="2" spans="1:16" x14ac:dyDescent="0.45">
      <c r="A2" s="2">
        <v>0.45</v>
      </c>
      <c r="F2" s="1"/>
    </row>
    <row r="3" spans="1:16" x14ac:dyDescent="0.45">
      <c r="F3" s="1"/>
      <c r="L3" t="s">
        <v>6</v>
      </c>
      <c r="M3" t="s">
        <v>2</v>
      </c>
      <c r="O3" s="4" t="s">
        <v>7</v>
      </c>
      <c r="P3" s="4"/>
    </row>
    <row r="4" spans="1:16" x14ac:dyDescent="0.45">
      <c r="B4">
        <v>5</v>
      </c>
      <c r="C4">
        <v>1.7529999999999999</v>
      </c>
      <c r="D4">
        <v>0.8</v>
      </c>
      <c r="E4">
        <f t="shared" ref="E4:E15" si="0">$D4-$A$2</f>
        <v>0.35000000000000003</v>
      </c>
      <c r="F4" s="1">
        <f>(2*($C4/1000))/(10/100*$E4^2)</f>
        <v>0.28620408163265293</v>
      </c>
      <c r="L4">
        <f>$E4^2</f>
        <v>0.12250000000000003</v>
      </c>
      <c r="M4">
        <f>$C4/1000</f>
        <v>1.7529999999999998E-3</v>
      </c>
      <c r="P4">
        <f>(M9-M15)/(L9-L15)</f>
        <v>2.7388497652582159E-4</v>
      </c>
    </row>
    <row r="5" spans="1:16" x14ac:dyDescent="0.45">
      <c r="B5">
        <v>5</v>
      </c>
      <c r="C5">
        <v>2.2999999999999998</v>
      </c>
      <c r="D5">
        <v>1.2</v>
      </c>
      <c r="E5">
        <f t="shared" si="0"/>
        <v>0.75</v>
      </c>
      <c r="F5" s="1">
        <f>(2*($C5/1000))/(10/100*$E5^2)</f>
        <v>8.1777777777777769E-2</v>
      </c>
      <c r="L5">
        <f>$E5^2</f>
        <v>0.5625</v>
      </c>
      <c r="M5">
        <f>$C5/1000</f>
        <v>2.3E-3</v>
      </c>
    </row>
    <row r="6" spans="1:16" x14ac:dyDescent="0.45">
      <c r="B6">
        <v>5</v>
      </c>
      <c r="C6">
        <v>2.89</v>
      </c>
      <c r="D6">
        <v>1.6</v>
      </c>
      <c r="E6">
        <f t="shared" si="0"/>
        <v>1.1500000000000001</v>
      </c>
      <c r="F6" s="1">
        <f t="shared" ref="F6:F15" si="1">(2*($C6/1000))/(10/100*$E6^2)</f>
        <v>4.3705103969754244E-2</v>
      </c>
      <c r="L6">
        <f>$E6^2</f>
        <v>1.3225000000000002</v>
      </c>
      <c r="M6">
        <f>$C6/1000</f>
        <v>2.8900000000000002E-3</v>
      </c>
      <c r="O6" s="3" t="s">
        <v>8</v>
      </c>
      <c r="P6" s="3">
        <f>(2*P4)/(100/10)</f>
        <v>5.4776995305164314E-5</v>
      </c>
    </row>
    <row r="7" spans="1:16" x14ac:dyDescent="0.45">
      <c r="B7">
        <v>5</v>
      </c>
      <c r="C7">
        <v>3.53</v>
      </c>
      <c r="D7">
        <v>2</v>
      </c>
      <c r="E7">
        <f t="shared" si="0"/>
        <v>1.55</v>
      </c>
      <c r="F7" s="1">
        <f t="shared" si="1"/>
        <v>2.9386056191467214E-2</v>
      </c>
      <c r="L7">
        <f t="shared" ref="L7:L15" si="2">$E7^2</f>
        <v>2.4025000000000003</v>
      </c>
      <c r="M7">
        <f t="shared" ref="M7:M15" si="3">$C7/1000</f>
        <v>3.5299999999999997E-3</v>
      </c>
    </row>
    <row r="8" spans="1:16" x14ac:dyDescent="0.45">
      <c r="B8">
        <v>5</v>
      </c>
      <c r="C8">
        <v>4.2</v>
      </c>
      <c r="D8">
        <v>2.4</v>
      </c>
      <c r="E8">
        <f t="shared" si="0"/>
        <v>1.95</v>
      </c>
      <c r="F8" s="1">
        <f t="shared" si="1"/>
        <v>2.2090729783037479E-2</v>
      </c>
      <c r="L8">
        <f t="shared" si="2"/>
        <v>3.8024999999999998</v>
      </c>
      <c r="M8">
        <f t="shared" si="3"/>
        <v>4.2000000000000006E-3</v>
      </c>
    </row>
    <row r="9" spans="1:16" x14ac:dyDescent="0.45">
      <c r="B9">
        <v>5</v>
      </c>
      <c r="C9">
        <v>4.91</v>
      </c>
      <c r="D9">
        <v>2.8</v>
      </c>
      <c r="E9">
        <f t="shared" si="0"/>
        <v>2.3499999999999996</v>
      </c>
      <c r="F9" s="1">
        <f t="shared" si="1"/>
        <v>1.7781801720235409E-2</v>
      </c>
      <c r="L9">
        <f t="shared" si="2"/>
        <v>5.5224999999999982</v>
      </c>
      <c r="M9">
        <f t="shared" si="3"/>
        <v>4.9100000000000003E-3</v>
      </c>
    </row>
    <row r="10" spans="1:16" x14ac:dyDescent="0.45">
      <c r="B10">
        <v>5</v>
      </c>
      <c r="C10">
        <v>5.64</v>
      </c>
      <c r="D10">
        <v>3.2</v>
      </c>
      <c r="E10">
        <f t="shared" si="0"/>
        <v>2.75</v>
      </c>
      <c r="F10" s="1">
        <f>(2*($C10/1000))/(10/100*$E10^2)</f>
        <v>1.4915702479338841E-2</v>
      </c>
      <c r="L10">
        <f t="shared" si="2"/>
        <v>7.5625</v>
      </c>
      <c r="M10">
        <f t="shared" si="3"/>
        <v>5.64E-3</v>
      </c>
    </row>
    <row r="11" spans="1:16" x14ac:dyDescent="0.45">
      <c r="B11">
        <v>5</v>
      </c>
      <c r="C11">
        <v>6.39</v>
      </c>
      <c r="D11">
        <v>3.6</v>
      </c>
      <c r="E11">
        <f t="shared" si="0"/>
        <v>3.15</v>
      </c>
      <c r="F11" s="1">
        <f t="shared" si="1"/>
        <v>1.2879818594104309E-2</v>
      </c>
      <c r="L11">
        <f t="shared" si="2"/>
        <v>9.9224999999999994</v>
      </c>
      <c r="M11">
        <f t="shared" si="3"/>
        <v>6.3899999999999998E-3</v>
      </c>
    </row>
    <row r="12" spans="1:16" x14ac:dyDescent="0.45">
      <c r="B12">
        <v>5</v>
      </c>
      <c r="C12">
        <v>7.17</v>
      </c>
      <c r="D12">
        <v>4</v>
      </c>
      <c r="E12">
        <f t="shared" si="0"/>
        <v>3.55</v>
      </c>
      <c r="F12" s="1">
        <f t="shared" si="1"/>
        <v>1.1378694703431858E-2</v>
      </c>
      <c r="L12">
        <f t="shared" si="2"/>
        <v>12.602499999999999</v>
      </c>
      <c r="M12">
        <f t="shared" si="3"/>
        <v>7.1700000000000002E-3</v>
      </c>
    </row>
    <row r="13" spans="1:16" x14ac:dyDescent="0.45">
      <c r="B13">
        <v>5</v>
      </c>
      <c r="C13">
        <v>7.9660000000000002</v>
      </c>
      <c r="D13">
        <v>4.4000000000000004</v>
      </c>
      <c r="E13">
        <f t="shared" si="0"/>
        <v>3.95</v>
      </c>
      <c r="F13" s="1">
        <f t="shared" si="1"/>
        <v>1.021118410511136E-2</v>
      </c>
      <c r="L13">
        <f t="shared" si="2"/>
        <v>15.602500000000001</v>
      </c>
      <c r="M13">
        <f t="shared" si="3"/>
        <v>7.9660000000000009E-3</v>
      </c>
    </row>
    <row r="14" spans="1:16" x14ac:dyDescent="0.45">
      <c r="B14">
        <v>5</v>
      </c>
      <c r="C14">
        <v>8.7669999999999995</v>
      </c>
      <c r="D14">
        <v>4.8</v>
      </c>
      <c r="E14">
        <f t="shared" si="0"/>
        <v>4.3499999999999996</v>
      </c>
      <c r="F14" s="1">
        <f>(2*($C14/1000))/(10/100*$E14^2)</f>
        <v>9.2662174659796544E-3</v>
      </c>
      <c r="L14">
        <f t="shared" si="2"/>
        <v>18.922499999999996</v>
      </c>
      <c r="M14">
        <f t="shared" si="3"/>
        <v>8.7669999999999988E-3</v>
      </c>
    </row>
    <row r="15" spans="1:16" x14ac:dyDescent="0.45">
      <c r="B15">
        <v>5</v>
      </c>
      <c r="C15">
        <v>9.577</v>
      </c>
      <c r="D15">
        <v>5.2</v>
      </c>
      <c r="E15">
        <f t="shared" si="0"/>
        <v>4.75</v>
      </c>
      <c r="F15" s="1">
        <f t="shared" si="1"/>
        <v>8.489307479224377E-3</v>
      </c>
      <c r="L15">
        <f t="shared" si="2"/>
        <v>22.5625</v>
      </c>
      <c r="M15">
        <f t="shared" si="3"/>
        <v>9.5770000000000004E-3</v>
      </c>
    </row>
    <row r="16" spans="1:16" x14ac:dyDescent="0.45">
      <c r="F16" s="1"/>
    </row>
    <row r="17" spans="5:6" x14ac:dyDescent="0.45">
      <c r="F17" s="1"/>
    </row>
    <row r="18" spans="5:6" x14ac:dyDescent="0.45">
      <c r="F18" s="1"/>
    </row>
    <row r="19" spans="5:6" x14ac:dyDescent="0.45">
      <c r="F19" s="1"/>
    </row>
    <row r="20" spans="5:6" x14ac:dyDescent="0.45">
      <c r="F20" s="1"/>
    </row>
    <row r="21" spans="5:6" x14ac:dyDescent="0.45">
      <c r="F21" s="1"/>
    </row>
    <row r="22" spans="5:6" x14ac:dyDescent="0.45">
      <c r="F22" s="1"/>
    </row>
    <row r="23" spans="5:6" x14ac:dyDescent="0.45">
      <c r="F23" s="1"/>
    </row>
    <row r="24" spans="5:6" x14ac:dyDescent="0.45">
      <c r="F24" s="1"/>
    </row>
    <row r="25" spans="5:6" x14ac:dyDescent="0.45">
      <c r="F25" s="1"/>
    </row>
    <row r="26" spans="5:6" x14ac:dyDescent="0.45">
      <c r="F26" s="1"/>
    </row>
    <row r="27" spans="5:6" x14ac:dyDescent="0.45">
      <c r="F27" s="1"/>
    </row>
    <row r="29" spans="5:6" x14ac:dyDescent="0.45">
      <c r="E29" s="4"/>
      <c r="F2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PERODIN GARCIA</dc:creator>
  <cp:lastModifiedBy>Daniel PERODIN GARCIA</cp:lastModifiedBy>
  <dcterms:created xsi:type="dcterms:W3CDTF">2026-07-12T18:38:00Z</dcterms:created>
  <dcterms:modified xsi:type="dcterms:W3CDTF">2026-07-13T18:00:35Z</dcterms:modified>
</cp:coreProperties>
</file>